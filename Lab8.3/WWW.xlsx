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0" windowWidth="13340" windowHeight="35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6" i="1"/>
  <c r="R6"/>
  <c r="R5"/>
  <c r="R4"/>
  <c r="R3"/>
  <c r="R2"/>
  <c r="Q6"/>
  <c r="Q5"/>
  <c r="Q4"/>
  <c r="Q3"/>
  <c r="Q2"/>
  <c r="P6"/>
  <c r="P5"/>
  <c r="P4"/>
  <c r="P3"/>
  <c r="P2"/>
  <c r="O6"/>
  <c r="O5"/>
  <c r="O4"/>
  <c r="O3"/>
  <c r="O2"/>
  <c r="N6"/>
  <c r="N5"/>
  <c r="N4"/>
  <c r="N3"/>
  <c r="N2"/>
  <c r="M6"/>
  <c r="M5"/>
  <c r="M4"/>
  <c r="M3"/>
  <c r="M2"/>
  <c r="H2"/>
  <c r="D6"/>
  <c r="D5"/>
  <c r="D4"/>
  <c r="D3"/>
  <c r="D2"/>
  <c r="L6"/>
  <c r="L5"/>
  <c r="L4"/>
  <c r="L3"/>
  <c r="L2"/>
  <c r="K6"/>
  <c r="K5"/>
  <c r="K4"/>
  <c r="K3"/>
  <c r="K2"/>
  <c r="J5"/>
  <c r="J4"/>
  <c r="J3"/>
  <c r="J2"/>
  <c r="I6"/>
  <c r="I5"/>
  <c r="I4"/>
  <c r="I3"/>
  <c r="I2"/>
  <c r="H6"/>
  <c r="H5"/>
  <c r="H4"/>
  <c r="H3"/>
</calcChain>
</file>

<file path=xl/sharedStrings.xml><?xml version="1.0" encoding="utf-8"?>
<sst xmlns="http://schemas.openxmlformats.org/spreadsheetml/2006/main" count="28" uniqueCount="28">
  <si>
    <t>KUMAR</t>
  </si>
  <si>
    <t xml:space="preserve"> PRAKASH</t>
  </si>
  <si>
    <t>VIJAY</t>
  </si>
  <si>
    <t>TOTAL</t>
  </si>
  <si>
    <t>SURIYA</t>
  </si>
  <si>
    <t>KARTHI</t>
  </si>
  <si>
    <t>FULL NAME</t>
  </si>
  <si>
    <t>ANDKK</t>
  </si>
  <si>
    <t>SEJDJN</t>
  </si>
  <si>
    <t>FRKGTMG</t>
  </si>
  <si>
    <t>FRJGT</t>
  </si>
  <si>
    <t>TFGVC</t>
  </si>
  <si>
    <t>S NO</t>
  </si>
  <si>
    <t>F NAME</t>
  </si>
  <si>
    <t>L NAME</t>
  </si>
  <si>
    <t>SUB 2</t>
  </si>
  <si>
    <t>SUB 1</t>
  </si>
  <si>
    <t>SUB 3</t>
  </si>
  <si>
    <t>AVERAGE</t>
  </si>
  <si>
    <t>MAX</t>
  </si>
  <si>
    <t>MIN</t>
  </si>
  <si>
    <t>PRODUCT</t>
  </si>
  <si>
    <t>LENGTH</t>
  </si>
  <si>
    <t>CONCAT OF MARKS</t>
  </si>
  <si>
    <t>DATE</t>
  </si>
  <si>
    <t>NOW</t>
  </si>
  <si>
    <t>LEFT</t>
  </si>
  <si>
    <t>RIGHT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</si>
</sst>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/>
    <xf numFmtId="14" fontId="0" fillId="0" borderId="0" xfId="0" applyNumberFormat="1"/>
    <xf numFmtId="22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>
      <selection activeCell="D13" sqref="D13"/>
    </sheetView>
  </sheetViews>
  <sheetFormatPr defaultRowHeight="14.5"/>
  <cols>
    <col min="2" max="2" width="17.36328125" customWidth="1"/>
    <col min="3" max="3" width="15.6328125" customWidth="1"/>
    <col min="4" max="4" width="19.7265625" customWidth="1"/>
    <col min="6" max="6" width="7.54296875" customWidth="1"/>
    <col min="7" max="7" width="7.36328125" customWidth="1"/>
    <col min="8" max="8" width="18.81640625" customWidth="1"/>
    <col min="9" max="9" width="14.6328125" customWidth="1"/>
    <col min="12" max="12" width="9.90625" customWidth="1"/>
    <col min="13" max="13" width="9.6328125" customWidth="1"/>
    <col min="14" max="14" width="17" customWidth="1"/>
    <col min="15" max="15" width="12.7265625" customWidth="1"/>
    <col min="16" max="16" width="13.54296875" bestFit="1" customWidth="1"/>
  </cols>
  <sheetData>
    <row r="1" spans="1:18">
      <c r="A1" s="2" t="s">
        <v>12</v>
      </c>
      <c r="B1" s="2" t="s">
        <v>13</v>
      </c>
      <c r="C1" s="2" t="s">
        <v>14</v>
      </c>
      <c r="D1" s="2" t="s">
        <v>6</v>
      </c>
      <c r="E1" s="2" t="s">
        <v>16</v>
      </c>
      <c r="F1" s="2" t="s">
        <v>15</v>
      </c>
      <c r="G1" s="2" t="s">
        <v>17</v>
      </c>
      <c r="H1" s="2" t="s">
        <v>3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</row>
    <row r="2" spans="1:18">
      <c r="A2">
        <v>1</v>
      </c>
      <c r="B2" t="s">
        <v>0</v>
      </c>
      <c r="C2" t="s">
        <v>7</v>
      </c>
      <c r="D2" t="str">
        <f>CONCATENATE(B2," ",C2)</f>
        <v>KUMAR ANDKK</v>
      </c>
      <c r="E2" s="3">
        <v>11</v>
      </c>
      <c r="F2">
        <v>34</v>
      </c>
      <c r="G2">
        <v>23</v>
      </c>
      <c r="H2">
        <f>SUM(E2,F2,G2)</f>
        <v>68</v>
      </c>
      <c r="I2">
        <f>AVERAGE(E2,F2,G2)</f>
        <v>22.666666666666668</v>
      </c>
      <c r="J2">
        <f>MAX(E2,F2,G2)</f>
        <v>34</v>
      </c>
      <c r="K2">
        <f>MIN(E2,F2,G2)</f>
        <v>11</v>
      </c>
      <c r="L2">
        <f>PRODUCT(E2,F2,G2)</f>
        <v>8602</v>
      </c>
      <c r="M2">
        <f>LEN(D2)</f>
        <v>11</v>
      </c>
      <c r="N2" t="str">
        <f>CONCATENATE(E2," ",F2," ",G2)</f>
        <v>11 34 23</v>
      </c>
      <c r="O2" s="4">
        <f ca="1">TODAY()</f>
        <v>45874</v>
      </c>
      <c r="P2" s="5">
        <f ca="1">NOW()</f>
        <v>45874.446014583336</v>
      </c>
      <c r="Q2" t="str">
        <f>LEFT(D2,5)</f>
        <v>KUMAR</v>
      </c>
      <c r="R2" t="str">
        <f>RIGHT(D2,7)</f>
        <v>R ANDKK</v>
      </c>
    </row>
    <row r="3" spans="1:18">
      <c r="A3">
        <v>2</v>
      </c>
      <c r="B3" t="s">
        <v>2</v>
      </c>
      <c r="C3" t="s">
        <v>8</v>
      </c>
      <c r="D3" t="str">
        <f>CONCATENATE(B3," ",C3)</f>
        <v>VIJAY SEJDJN</v>
      </c>
      <c r="E3">
        <v>23</v>
      </c>
      <c r="F3">
        <v>56</v>
      </c>
      <c r="G3">
        <v>56</v>
      </c>
      <c r="H3">
        <f>SUM(E3,F3,G3)</f>
        <v>135</v>
      </c>
      <c r="I3">
        <f>AVERAGE(E3,F3,G3)</f>
        <v>45</v>
      </c>
      <c r="J3">
        <f>MAX(E3,F3,G3)</f>
        <v>56</v>
      </c>
      <c r="K3">
        <f>MIN(E3,F3,G3)</f>
        <v>23</v>
      </c>
      <c r="L3">
        <f>PRODUCT(E3,F3,G3)</f>
        <v>72128</v>
      </c>
      <c r="M3">
        <f>LEN(D3)</f>
        <v>12</v>
      </c>
      <c r="N3" t="str">
        <f>CONCATENATE(E3," ",F3," ",G3)</f>
        <v>23 56 56</v>
      </c>
      <c r="O3" s="4">
        <f ca="1">TODAY()</f>
        <v>45874</v>
      </c>
      <c r="P3" s="5">
        <f ca="1">NOW()</f>
        <v>45874.446014583336</v>
      </c>
      <c r="Q3" t="str">
        <f>LEFT(D3,5)</f>
        <v>VIJAY</v>
      </c>
      <c r="R3" t="str">
        <f>RIGHT(D3,6)</f>
        <v>SEJDJN</v>
      </c>
    </row>
    <row r="4" spans="1:18">
      <c r="A4">
        <v>3</v>
      </c>
      <c r="B4" t="s">
        <v>1</v>
      </c>
      <c r="C4" t="s">
        <v>9</v>
      </c>
      <c r="D4" t="str">
        <f>CONCATENATE(B4," ",C4)</f>
        <v xml:space="preserve"> PRAKASH FRKGTMG</v>
      </c>
      <c r="E4">
        <v>65</v>
      </c>
      <c r="F4">
        <v>43</v>
      </c>
      <c r="G4">
        <v>32</v>
      </c>
      <c r="H4">
        <f>SUM(E4,F4,G4)</f>
        <v>140</v>
      </c>
      <c r="I4">
        <f>AVERAGE(E4,F4,G4)</f>
        <v>46.666666666666664</v>
      </c>
      <c r="J4">
        <f>MAX(E4,F4,G4)</f>
        <v>65</v>
      </c>
      <c r="K4">
        <f>MIN(E4,F4,G4)</f>
        <v>32</v>
      </c>
      <c r="L4">
        <f>PRODUCT(E4,F4,G4)</f>
        <v>89440</v>
      </c>
      <c r="M4">
        <f>LEN(D4)</f>
        <v>16</v>
      </c>
      <c r="N4" t="str">
        <f>CONCATENATE(E4," ",F4," ",G4)</f>
        <v>65 43 32</v>
      </c>
      <c r="O4" s="4">
        <f ca="1">TODAY()</f>
        <v>45874</v>
      </c>
      <c r="P4" s="5">
        <f ca="1">NOW()</f>
        <v>45874.446014583336</v>
      </c>
      <c r="Q4" t="str">
        <f>LEFT(D4,7)</f>
        <v xml:space="preserve"> PRAKAS</v>
      </c>
      <c r="R4" t="str">
        <f>RIGHT(D4,8)</f>
        <v xml:space="preserve"> FRKGTMG</v>
      </c>
    </row>
    <row r="5" spans="1:18">
      <c r="A5">
        <v>4</v>
      </c>
      <c r="B5" t="s">
        <v>4</v>
      </c>
      <c r="C5" s="1" t="s">
        <v>10</v>
      </c>
      <c r="D5" t="str">
        <f>CONCATENATE(B5," ",C5)</f>
        <v>SURIYA FRJGT</v>
      </c>
      <c r="E5">
        <v>34</v>
      </c>
      <c r="F5">
        <v>12</v>
      </c>
      <c r="G5">
        <v>12</v>
      </c>
      <c r="H5">
        <f>SUM(E5,F5,G5)</f>
        <v>58</v>
      </c>
      <c r="I5">
        <f>AVERAGE(E5,F5,G5)</f>
        <v>19.333333333333332</v>
      </c>
      <c r="J5">
        <f>MAX(E5,F5,G5)</f>
        <v>34</v>
      </c>
      <c r="K5">
        <f>MIN(E5,F5,G5)</f>
        <v>12</v>
      </c>
      <c r="L5">
        <f>PRODUCT(E5,F5,G5)</f>
        <v>4896</v>
      </c>
      <c r="M5">
        <f>LEN(D5)</f>
        <v>12</v>
      </c>
      <c r="N5" t="str">
        <f>CONCATENATE(E5," ",F5," ",G5)</f>
        <v>34 12 12</v>
      </c>
      <c r="O5" s="4">
        <f ca="1">TODAY()</f>
        <v>45874</v>
      </c>
      <c r="P5" s="5">
        <f ca="1">NOW()</f>
        <v>45874.446014583336</v>
      </c>
      <c r="Q5" t="str">
        <f>LEFT(D5,7)</f>
        <v xml:space="preserve">SURIYA </v>
      </c>
      <c r="R5" t="str">
        <f>RIGHT(D5,6)</f>
        <v xml:space="preserve"> FRJGT</v>
      </c>
    </row>
    <row r="6" spans="1:18">
      <c r="A6">
        <v>5</v>
      </c>
      <c r="B6" t="s">
        <v>5</v>
      </c>
      <c r="C6" t="s">
        <v>11</v>
      </c>
      <c r="D6" t="str">
        <f>CONCATENATE(B6," ",C6)</f>
        <v>KARTHI TFGVC</v>
      </c>
      <c r="E6">
        <v>33</v>
      </c>
      <c r="F6">
        <v>34</v>
      </c>
      <c r="G6">
        <v>45</v>
      </c>
      <c r="H6">
        <f>SUM(E6,G6,F6)</f>
        <v>112</v>
      </c>
      <c r="I6">
        <f>AVERAGE(E6,F6,G6)</f>
        <v>37.333333333333336</v>
      </c>
      <c r="J6">
        <f>MAX(E6,F6,G6)</f>
        <v>45</v>
      </c>
      <c r="K6">
        <f xml:space="preserve"> MIN(E6,F6,G6)</f>
        <v>33</v>
      </c>
      <c r="L6">
        <f>PRODUCT(E6,F6,G6)</f>
        <v>50490</v>
      </c>
      <c r="M6">
        <f>LEN(D6)</f>
        <v>12</v>
      </c>
      <c r="N6" t="str">
        <f>CONCATENATE(E6," ",F6," ",G6)</f>
        <v>33 34 45</v>
      </c>
      <c r="O6" s="4">
        <f ca="1">TODAY()</f>
        <v>45874</v>
      </c>
      <c r="P6" s="5">
        <f ca="1">NOW()</f>
        <v>45874.446014583336</v>
      </c>
      <c r="Q6" t="str">
        <f>LEFT(D6,6)</f>
        <v>KARTHI</v>
      </c>
      <c r="R6" t="str">
        <f>RIGHT(D6,5)</f>
        <v>TFGVC</v>
      </c>
    </row>
    <row r="7" spans="1:18">
      <c r="I7" s="6"/>
      <c r="L7" s="2"/>
    </row>
    <row r="8" spans="1:18">
      <c r="I8" s="7"/>
    </row>
    <row r="11" spans="1:18">
      <c r="E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windows11</cp:lastModifiedBy>
  <dcterms:created xsi:type="dcterms:W3CDTF">2025-08-05T03:56:13Z</dcterms:created>
  <dcterms:modified xsi:type="dcterms:W3CDTF">2025-08-05T07:31:20Z</dcterms:modified>
</cp:coreProperties>
</file>